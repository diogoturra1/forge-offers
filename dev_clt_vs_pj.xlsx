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T vs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4A5560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4D6"/>
      </patternFill>
    </fill>
    <fill>
      <patternFill patternType="solid">
        <fgColor rgb="00E8F1F3"/>
      </patternFill>
    </fill>
  </fills>
  <borders count="2">
    <border>
      <left/>
      <right/>
      <top/>
      <bottom/>
      <diagonal/>
    </border>
    <border>
      <left style="thin">
        <color rgb="00C5D0D4"/>
      </left>
      <right style="thin">
        <color rgb="00C5D0D4"/>
      </right>
      <top style="thin">
        <color rgb="00C5D0D4"/>
      </top>
      <bottom style="thin">
        <color rgb="00C5D0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1" pivotButton="0" quotePrefix="0" xfId="0"/>
    <xf numFmtId="164" fontId="5" fillId="3" borderId="1" pivotButton="0" quotePrefix="0" xfId="0"/>
    <xf numFmtId="10" fontId="5" fillId="3" borderId="1" pivotButton="0" quotePrefix="0" xfId="0"/>
    <xf numFmtId="164" fontId="0" fillId="0" borderId="1" pivotButton="0" quotePrefix="0" xfId="0"/>
    <xf numFmtId="164" fontId="5" fillId="4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4" customWidth="1" min="3" max="3"/>
  </cols>
  <sheetData>
    <row r="1">
      <c r="A1" s="1" t="inlineStr">
        <is>
          <t>Dev Revelado — CLT vs PJ, líquido na mão</t>
        </is>
      </c>
    </row>
    <row r="2" ht="32" customHeight="1">
      <c r="A2" s="2" t="inlineStr">
        <is>
          <t>Modelo ilustrativo. Células amarelas são entrada — troque INSS/IRRF/DAS pelas tabelas vigentes. Não é consultoria trabalhista nem tributária.</t>
        </is>
      </c>
    </row>
    <row r="4">
      <c r="A4" s="3" t="inlineStr">
        <is>
          <t>ENTRADA (edite o amarelo)</t>
        </is>
      </c>
    </row>
    <row r="5">
      <c r="A5" s="4" t="inlineStr">
        <is>
          <t>Salário bruto CLT (R$/mês)</t>
        </is>
      </c>
      <c r="B5" s="5" t="n">
        <v>8000</v>
      </c>
    </row>
    <row r="6">
      <c r="A6" s="4" t="inlineStr">
        <is>
          <t>INSS descontado CLT (R$/mês)</t>
        </is>
      </c>
      <c r="B6" s="5" t="n">
        <v>742.12</v>
      </c>
    </row>
    <row r="7">
      <c r="A7" s="4" t="inlineStr">
        <is>
          <t>IRRF descontado CLT (R$/mês)</t>
        </is>
      </c>
      <c r="B7" s="5" t="n">
        <v>618.86</v>
      </c>
    </row>
    <row r="8">
      <c r="A8" s="4" t="inlineStr">
        <is>
          <t>Vale / benefícios no holerite (R$/mês)</t>
        </is>
      </c>
      <c r="B8" s="5" t="n">
        <v>0</v>
      </c>
    </row>
    <row r="9">
      <c r="A9" s="4" t="inlineStr">
        <is>
          <t>Nota fiscal PJ para o mesmo trabalho (R$/mês)</t>
        </is>
      </c>
      <c r="B9" s="5" t="n">
        <v>12000</v>
      </c>
    </row>
    <row r="10">
      <c r="A10" s="4" t="inlineStr">
        <is>
          <t>Alíquota efetiva DAS PJ (%)</t>
        </is>
      </c>
      <c r="B10" s="6" t="n">
        <v>0.06</v>
      </c>
    </row>
    <row r="11">
      <c r="A11" s="4" t="inlineStr">
        <is>
          <t>Pró-labore (R$/mês)</t>
        </is>
      </c>
      <c r="B11" s="5" t="n">
        <v>1518</v>
      </c>
    </row>
    <row r="12">
      <c r="A12" s="4" t="inlineStr">
        <is>
          <t>INSS sobre pró-labore (%)</t>
        </is>
      </c>
      <c r="B12" s="6" t="n">
        <v>0.11</v>
      </c>
    </row>
    <row r="13">
      <c r="A13" s="4" t="inlineStr">
        <is>
          <t>Contador (R$/mês)</t>
        </is>
      </c>
      <c r="B13" s="5" t="n">
        <v>250</v>
      </c>
    </row>
    <row r="15">
      <c r="A15" s="3" t="inlineStr">
        <is>
          <t>CLT — o que cai na conta no ano</t>
        </is>
      </c>
    </row>
    <row r="16">
      <c r="A16" s="4" t="inlineStr">
        <is>
          <t>Líquido mensal (bruto − INSS − IRRF + benefícios)</t>
        </is>
      </c>
      <c r="B16" s="7">
        <f>B5-B6-B7+B8</f>
        <v/>
      </c>
    </row>
    <row r="17">
      <c r="A17" s="4" t="inlineStr">
        <is>
          <t>12 líquidos</t>
        </is>
      </c>
      <c r="B17" s="7">
        <f>B16*12</f>
        <v/>
      </c>
    </row>
    <row r="18">
      <c r="A18" s="4" t="inlineStr">
        <is>
          <t>13º (aprox. 1 líquido)</t>
        </is>
      </c>
      <c r="B18" s="7">
        <f>B16</f>
        <v/>
      </c>
    </row>
    <row r="19">
      <c r="A19" s="4" t="inlineStr">
        <is>
          <t>Férias + 1/3 (aprox. 1,333 líquido)</t>
        </is>
      </c>
      <c r="B19" s="7">
        <f>B16*4/3</f>
        <v/>
      </c>
    </row>
    <row r="20">
      <c r="A20" s="4" t="inlineStr">
        <is>
          <t>FGTS 8% × 12 (não é líquido na conta corrente)</t>
        </is>
      </c>
      <c r="B20" s="7">
        <f>B5*0.08*12</f>
        <v/>
      </c>
    </row>
    <row r="21">
      <c r="A21" s="4" t="inlineStr">
        <is>
          <t>TOTAL na mão no ano (sem FGTS)</t>
        </is>
      </c>
      <c r="B21" s="8">
        <f>B17+B18+B19</f>
        <v/>
      </c>
    </row>
    <row r="22">
      <c r="A22" s="4" t="inlineStr">
        <is>
          <t>TOTAL se contar FGTS</t>
        </is>
      </c>
      <c r="B22" s="8">
        <f>B21+B20</f>
        <v/>
      </c>
    </row>
    <row r="24">
      <c r="A24" s="3" t="inlineStr">
        <is>
          <t>PJ — o que sobra no ano</t>
        </is>
      </c>
    </row>
    <row r="25">
      <c r="A25" s="4" t="inlineStr">
        <is>
          <t>Faturamento 12 meses</t>
        </is>
      </c>
      <c r="B25" s="7">
        <f>B9*12</f>
        <v/>
      </c>
    </row>
    <row r="26">
      <c r="A26" s="4" t="inlineStr">
        <is>
          <t>DAS no ano</t>
        </is>
      </c>
      <c r="B26" s="7">
        <f>B25*B10</f>
        <v/>
      </c>
    </row>
    <row r="27">
      <c r="A27" s="4" t="inlineStr">
        <is>
          <t>INSS do pró-labore no ano</t>
        </is>
      </c>
      <c r="B27" s="7">
        <f>B11*B12*12</f>
        <v/>
      </c>
    </row>
    <row r="28">
      <c r="A28" s="4" t="inlineStr">
        <is>
          <t>Contador no ano</t>
        </is>
      </c>
      <c r="B28" s="7">
        <f>B13*12</f>
        <v/>
      </c>
    </row>
    <row r="29">
      <c r="A29" s="4" t="inlineStr">
        <is>
          <t>TOTAL na mão no ano (NF − DAS − INSS pró-labore − contador)</t>
        </is>
      </c>
      <c r="B29" s="8">
        <f>B25-B26-B27-B28</f>
        <v/>
      </c>
    </row>
    <row r="31">
      <c r="A31" s="3" t="inlineStr">
        <is>
          <t>Comparação</t>
        </is>
      </c>
    </row>
    <row r="32">
      <c r="A32" s="4" t="inlineStr">
        <is>
          <t>PJ − CLT (sem FGTS) no ano</t>
        </is>
      </c>
      <c r="B32" s="8">
        <f>B29-B21</f>
        <v/>
      </c>
    </row>
    <row r="33">
      <c r="A33" s="4" t="inlineStr">
        <is>
          <t>PJ − CLT (com FGTS) no ano</t>
        </is>
      </c>
      <c r="B33" s="8">
        <f>B29-B22</f>
        <v/>
      </c>
    </row>
    <row r="34">
      <c r="A34" s="4" t="inlineStr">
        <is>
          <t>Equivalente mensal (sem FGTS)</t>
        </is>
      </c>
      <c r="B34" s="8">
        <f>B32/12</f>
        <v/>
      </c>
    </row>
    <row r="36" ht="48" customHeight="1">
      <c r="A36" s="9" t="inlineStr">
        <is>
          <t>Notas: (1) INSS/IRRF de exemplo para ~R$ 8 mil — substitua pela tabela do ano. (2) 13º e férias no CLT são aproximação pelo líquido mensal; o holerite real tributa essas verbas. (3) Lucro PJ no Simples em geral é isento na distribuição se a escrituração bater — confirme com o contador. (4) PJ sem férias/13º/FGTS: o 'ganho' precisa cobrir reserva para ociosidade e INSS. (5) Dev Revelado / @devrevelado.</t>
        </is>
      </c>
    </row>
    <row r="37"/>
    <row r="38"/>
  </sheetData>
  <mergeCells count="7">
    <mergeCell ref="A1:C1"/>
    <mergeCell ref="A36:C38"/>
    <mergeCell ref="A31:C31"/>
    <mergeCell ref="A15:C15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2026-09-04T00:01:07Z</dcterms:created>
  <dcterms:modified xsi:type="dcterms:W3CDTF">2026-09-04T00:01:07Z</dcterms:modified>
</cp:coreProperties>
</file>